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xz284\Box\Duke Lecture\ENV 716_F2022\Ass 4\"/>
    </mc:Choice>
  </mc:AlternateContent>
  <xr:revisionPtr revIDLastSave="0" documentId="13_ncr:1_{326493F8-4650-4B2D-B7AD-783E44D32F43}" xr6:coauthVersionLast="47" xr6:coauthVersionMax="47" xr10:uidLastSave="{00000000-0000-0000-0000-000000000000}"/>
  <bookViews>
    <workbookView xWindow="-108" yWindow="-108" windowWidth="23256" windowHeight="12576" xr2:uid="{2CBE52F5-9FE7-4B4E-8D1D-89CD641319BE}"/>
  </bookViews>
  <sheets>
    <sheet name="A4.Q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0" i="1" l="1" a="1"/>
  <c r="I8" i="1" a="1"/>
  <c r="M8" i="1" a="1"/>
  <c r="L9" i="1" a="1"/>
  <c r="K10" i="1" a="1"/>
  <c r="I9" i="1" a="1"/>
  <c r="J9" i="1" a="1"/>
  <c r="J10" i="1" a="1"/>
  <c r="J8" i="1" a="1"/>
  <c r="M9" i="1" a="1"/>
  <c r="L10" i="1" a="1"/>
  <c r="I10" i="1" a="1"/>
  <c r="K9" i="1" a="1"/>
  <c r="K8" i="1" a="1"/>
  <c r="L8" i="1" a="1"/>
  <c r="M7" i="1" a="1"/>
  <c r="L7" i="1" a="1"/>
  <c r="K7" i="1" a="1"/>
  <c r="J7" i="1" a="1"/>
  <c r="M6" i="1" a="1"/>
  <c r="L6" i="1" a="1"/>
  <c r="K6" i="1" a="1"/>
  <c r="J6" i="1" a="1"/>
  <c r="I7" i="1" a="1"/>
  <c r="I6" i="1" a="1"/>
  <c r="M10" i="1" l="1"/>
  <c r="L8" i="1"/>
  <c r="K8" i="1"/>
  <c r="K9" i="1"/>
  <c r="I10" i="1"/>
  <c r="L10" i="1"/>
  <c r="M9" i="1"/>
  <c r="J8" i="1"/>
  <c r="J10" i="1"/>
  <c r="J9" i="1"/>
  <c r="I9" i="1"/>
  <c r="K10" i="1"/>
  <c r="L9" i="1"/>
  <c r="M8" i="1"/>
  <c r="I8" i="1"/>
  <c r="M7" i="1"/>
  <c r="L7" i="1"/>
  <c r="K7" i="1"/>
  <c r="J7" i="1"/>
  <c r="M6" i="1"/>
  <c r="L6" i="1"/>
  <c r="K6" i="1"/>
  <c r="J6" i="1"/>
  <c r="I7" i="1"/>
  <c r="I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Dalia Patino Echeverri, Ph.D.</author>
  </authors>
  <commentList>
    <comment ref="I6" authorId="0" shapeId="0" xr:uid="{68BAA53A-2B58-4111-9238-F1B9289A0DD5}">
      <text>
        <r>
          <rPr>
            <b/>
            <sz val="9"/>
            <color indexed="81"/>
            <rFont val="Tahoma"/>
            <family val="2"/>
          </rPr>
          <t>Dalia Patino Echeverri, Ph.D.:</t>
        </r>
        <r>
          <rPr>
            <sz val="9"/>
            <color indexed="81"/>
            <rFont val="Tahoma"/>
            <family val="2"/>
          </rPr>
          <t xml:space="preserve">
This cell should have the price in $/MMBtu corresponding to the price presented in cell D6 and heating value in B6.  The conversion should be done on using your UDF. Do the same for all the cells in the range I6:M10.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<sst xmlns="http://schemas.openxmlformats.org/spreadsheetml/2006/main" count="15" uniqueCount="13">
  <si>
    <t>Average weekly coal commodity spot prices</t>
  </si>
  <si>
    <t>dollars per short ton</t>
  </si>
  <si>
    <t>Week ending</t>
  </si>
  <si>
    <t>Central Appalachia</t>
  </si>
  <si>
    <t>Northern Appalachia</t>
  </si>
  <si>
    <t>Illinois Basin</t>
  </si>
  <si>
    <t>Powder River Basin</t>
  </si>
  <si>
    <t>Uinta Basin</t>
  </si>
  <si>
    <t>EIA</t>
  </si>
  <si>
    <t>dollars per million Btu</t>
  </si>
  <si>
    <t>Source: EIA https://www.eia.gov/coal/markets/</t>
  </si>
  <si>
    <t>Heat Content (Btu/lb)</t>
  </si>
  <si>
    <t>Sulfur Dioxide content (lb/MMBtu)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</si>
</sst>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6">
    <font>
      <sz val="11"/>
      <color theme="1"/>
      <name val="Calibri"/>
      <family val="2"/>
      <scheme val="minor"/>
    </font>
    <font>
      <i/>
      <sz val="15"/>
      <color theme="1"/>
      <name val="Inherit"/>
    </font>
    <font>
      <b/>
      <sz val="10"/>
      <color rgb="FF333333"/>
      <name val="Inherit"/>
    </font>
    <font>
      <sz val="10"/>
      <color rgb="FF333333"/>
      <name val="Inherit"/>
    </font>
    <font>
      <sz val="9"/>
      <color indexed="81"/>
      <name val="Tahoma"/>
      <family val="2"/>
    </font>
    <font>
      <b/>
      <sz val="9"/>
      <color indexed="81"/>
      <name val="Tahoma"/>
      <family val="2"/>
    </font>
  </fonts>
  <fills count="5">
    <fill>
      <patternFill patternType="none"/>
    </fill>
    <fill>
      <patternFill patternType="gray125"/>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s>
  <borders count="22">
    <border>
      <left/>
      <right/>
      <top/>
      <bottom/>
      <diagonal/>
    </border>
    <border>
      <left/>
      <right/>
      <top/>
      <bottom style="medium">
        <color rgb="FF189BD7"/>
      </bottom>
      <diagonal/>
    </border>
    <border>
      <left/>
      <right/>
      <top style="medium">
        <color rgb="FF189BD7"/>
      </top>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rgb="FFCCCCCC"/>
      </bottom>
      <diagonal/>
    </border>
    <border>
      <left/>
      <right style="medium">
        <color indexed="64"/>
      </right>
      <top style="medium">
        <color indexed="64"/>
      </top>
      <bottom style="medium">
        <color rgb="FFCCCCCC"/>
      </bottom>
      <diagonal/>
    </border>
    <border>
      <left style="medium">
        <color indexed="64"/>
      </left>
      <right/>
      <top/>
      <bottom style="medium">
        <color rgb="FF189BD7"/>
      </bottom>
      <diagonal/>
    </border>
    <border>
      <left style="medium">
        <color indexed="64"/>
      </left>
      <right/>
      <top style="medium">
        <color rgb="FF189BD7"/>
      </top>
      <bottom/>
      <diagonal/>
    </border>
    <border>
      <left/>
      <right style="medium">
        <color indexed="64"/>
      </right>
      <top style="medium">
        <color rgb="FF189BD7"/>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CCCCCC"/>
      </bottom>
      <diagonal/>
    </border>
    <border>
      <left style="medium">
        <color indexed="64"/>
      </left>
      <right/>
      <top/>
      <bottom/>
      <diagonal/>
    </border>
    <border>
      <left/>
      <right style="medium">
        <color indexed="64"/>
      </right>
      <top/>
      <bottom/>
      <diagonal/>
    </border>
  </borders>
  <cellStyleXfs count="1">
    <xf numFmtId="0" fontId="0" fillId="0" borderId="0"/>
  </cellStyleXfs>
  <cellXfs count="42">
    <xf numFmtId="0" fontId="0" fillId="0" borderId="0" xfId="0"/>
    <xf numFmtId="14" fontId="2" fillId="2" borderId="1" xfId="0" applyNumberFormat="1" applyFont="1" applyFill="1" applyBorder="1" applyAlignment="1">
      <alignment horizontal="right" wrapText="1"/>
    </xf>
    <xf numFmtId="0" fontId="3" fillId="2" borderId="4" xfId="0" applyFont="1" applyFill="1" applyBorder="1" applyAlignment="1">
      <alignment horizontal="left" vertical="top" wrapText="1"/>
    </xf>
    <xf numFmtId="0" fontId="2" fillId="2" borderId="1" xfId="0" applyFont="1" applyFill="1" applyBorder="1" applyAlignment="1">
      <alignment horizontal="right" wrapText="1"/>
    </xf>
    <xf numFmtId="3" fontId="3" fillId="2" borderId="2" xfId="0" applyNumberFormat="1" applyFont="1" applyFill="1" applyBorder="1" applyAlignment="1">
      <alignment horizontal="left" vertical="top" wrapText="1"/>
    </xf>
    <xf numFmtId="164" fontId="3" fillId="2" borderId="2" xfId="0" applyNumberFormat="1" applyFont="1" applyFill="1" applyBorder="1" applyAlignment="1">
      <alignment horizontal="right" vertical="top" wrapText="1"/>
    </xf>
    <xf numFmtId="164" fontId="3" fillId="2" borderId="4" xfId="0" applyNumberFormat="1" applyFont="1" applyFill="1" applyBorder="1" applyAlignment="1">
      <alignment horizontal="right" vertical="top" wrapText="1"/>
    </xf>
    <xf numFmtId="0" fontId="3" fillId="2" borderId="3" xfId="0" applyFont="1" applyFill="1" applyBorder="1" applyAlignment="1">
      <alignment horizontal="left" vertical="top" wrapText="1"/>
    </xf>
    <xf numFmtId="164" fontId="3" fillId="2" borderId="3" xfId="0" applyNumberFormat="1" applyFont="1" applyFill="1" applyBorder="1" applyAlignment="1">
      <alignment horizontal="right" vertical="top" wrapText="1"/>
    </xf>
    <xf numFmtId="0" fontId="2" fillId="2" borderId="6" xfId="0" applyFont="1" applyFill="1" applyBorder="1" applyAlignment="1">
      <alignment horizontal="right" wrapText="1"/>
    </xf>
    <xf numFmtId="0" fontId="3" fillId="2" borderId="10" xfId="0" applyFont="1" applyFill="1" applyBorder="1" applyAlignment="1">
      <alignment horizontal="left" vertical="top" wrapText="1"/>
    </xf>
    <xf numFmtId="0" fontId="3" fillId="2" borderId="12" xfId="0" applyFont="1" applyFill="1" applyBorder="1" applyAlignment="1">
      <alignment horizontal="left" vertical="top" wrapText="1"/>
    </xf>
    <xf numFmtId="0" fontId="3" fillId="2" borderId="14" xfId="0" applyFont="1" applyFill="1" applyBorder="1" applyAlignment="1">
      <alignment horizontal="left" vertical="top" wrapText="1"/>
    </xf>
    <xf numFmtId="0" fontId="3" fillId="2" borderId="16" xfId="0" applyFont="1" applyFill="1" applyBorder="1" applyAlignment="1">
      <alignment horizontal="left" vertical="top" wrapText="1"/>
    </xf>
    <xf numFmtId="0" fontId="3" fillId="2" borderId="17" xfId="0" applyFont="1" applyFill="1" applyBorder="1" applyAlignment="1">
      <alignment horizontal="left" vertical="top" wrapText="1"/>
    </xf>
    <xf numFmtId="164" fontId="3" fillId="2" borderId="17" xfId="0" applyNumberFormat="1" applyFont="1" applyFill="1" applyBorder="1" applyAlignment="1">
      <alignment horizontal="right" vertical="top" wrapText="1"/>
    </xf>
    <xf numFmtId="0" fontId="0" fillId="4" borderId="0" xfId="0" applyFill="1"/>
    <xf numFmtId="0" fontId="1" fillId="4" borderId="0" xfId="0" applyFont="1" applyFill="1" applyAlignment="1">
      <alignment horizontal="left" vertical="center"/>
    </xf>
    <xf numFmtId="0" fontId="0" fillId="4" borderId="0" xfId="0" applyFill="1"/>
    <xf numFmtId="0" fontId="0" fillId="4" borderId="0" xfId="0" applyFill="1" applyAlignment="1">
      <alignment horizontal="left" vertical="center"/>
    </xf>
    <xf numFmtId="0" fontId="2" fillId="3" borderId="19" xfId="0" applyFont="1" applyFill="1" applyBorder="1" applyAlignment="1">
      <alignment horizontal="left" wrapText="1"/>
    </xf>
    <xf numFmtId="0" fontId="2" fillId="3" borderId="7" xfId="0" applyFont="1" applyFill="1" applyBorder="1" applyAlignment="1">
      <alignment horizontal="left" wrapText="1"/>
    </xf>
    <xf numFmtId="0" fontId="2" fillId="3" borderId="8" xfId="0" applyFont="1" applyFill="1" applyBorder="1" applyAlignment="1">
      <alignment horizontal="left" wrapText="1"/>
    </xf>
    <xf numFmtId="0" fontId="2" fillId="2" borderId="5" xfId="0" applyFont="1" applyFill="1" applyBorder="1" applyAlignment="1">
      <alignment horizontal="right" wrapText="1"/>
    </xf>
    <xf numFmtId="0" fontId="2" fillId="2" borderId="9" xfId="0" applyFont="1" applyFill="1" applyBorder="1" applyAlignment="1">
      <alignment horizontal="right" wrapText="1"/>
    </xf>
    <xf numFmtId="0" fontId="2" fillId="2" borderId="7" xfId="0" applyFont="1" applyFill="1" applyBorder="1" applyAlignment="1">
      <alignment horizontal="left" wrapText="1"/>
    </xf>
    <xf numFmtId="14" fontId="2" fillId="3" borderId="20" xfId="0" applyNumberFormat="1" applyFont="1" applyFill="1" applyBorder="1" applyAlignment="1">
      <alignment horizontal="right" wrapText="1"/>
    </xf>
    <xf numFmtId="14" fontId="2" fillId="3" borderId="0" xfId="0" applyNumberFormat="1" applyFont="1" applyFill="1" applyBorder="1" applyAlignment="1">
      <alignment horizontal="right" wrapText="1"/>
    </xf>
    <xf numFmtId="14" fontId="2" fillId="3" borderId="21" xfId="0" applyNumberFormat="1" applyFont="1" applyFill="1" applyBorder="1" applyAlignment="1">
      <alignment horizontal="right" wrapText="1"/>
    </xf>
    <xf numFmtId="164" fontId="3" fillId="3" borderId="2" xfId="0" applyNumberFormat="1" applyFont="1" applyFill="1" applyBorder="1" applyAlignment="1">
      <alignment horizontal="right" vertical="top" wrapText="1"/>
    </xf>
    <xf numFmtId="164" fontId="3" fillId="3" borderId="4" xfId="0" applyNumberFormat="1" applyFont="1" applyFill="1" applyBorder="1" applyAlignment="1">
      <alignment horizontal="right" vertical="top" wrapText="1"/>
    </xf>
    <xf numFmtId="164" fontId="3" fillId="3" borderId="17" xfId="0" applyNumberFormat="1" applyFont="1" applyFill="1" applyBorder="1" applyAlignment="1">
      <alignment horizontal="right" vertical="top" wrapText="1"/>
    </xf>
    <xf numFmtId="164" fontId="3" fillId="2" borderId="11" xfId="0" applyNumberFormat="1" applyFont="1" applyFill="1" applyBorder="1" applyAlignment="1">
      <alignment horizontal="right" vertical="top" wrapText="1"/>
    </xf>
    <xf numFmtId="164" fontId="3" fillId="2" borderId="13" xfId="0" applyNumberFormat="1" applyFont="1" applyFill="1" applyBorder="1" applyAlignment="1">
      <alignment horizontal="right" vertical="top" wrapText="1"/>
    </xf>
    <xf numFmtId="164" fontId="3" fillId="2" borderId="15" xfId="0" applyNumberFormat="1" applyFont="1" applyFill="1" applyBorder="1" applyAlignment="1">
      <alignment horizontal="right" vertical="top" wrapText="1"/>
    </xf>
    <xf numFmtId="164" fontId="3" fillId="2" borderId="18" xfId="0" applyNumberFormat="1" applyFont="1" applyFill="1" applyBorder="1" applyAlignment="1">
      <alignment horizontal="right" vertical="top" wrapText="1"/>
    </xf>
    <xf numFmtId="164" fontId="3" fillId="3" borderId="11" xfId="0" applyNumberFormat="1" applyFont="1" applyFill="1" applyBorder="1" applyAlignment="1">
      <alignment horizontal="right" vertical="top" wrapText="1"/>
    </xf>
    <xf numFmtId="164" fontId="3" fillId="3" borderId="13" xfId="0" applyNumberFormat="1" applyFont="1" applyFill="1" applyBorder="1" applyAlignment="1">
      <alignment horizontal="right" vertical="top" wrapText="1"/>
    </xf>
    <xf numFmtId="164" fontId="3" fillId="3" borderId="18" xfId="0" applyNumberFormat="1" applyFont="1" applyFill="1" applyBorder="1" applyAlignment="1">
      <alignment horizontal="right" vertical="top" wrapText="1"/>
    </xf>
    <xf numFmtId="164" fontId="3" fillId="3" borderId="14" xfId="0" applyNumberFormat="1" applyFont="1" applyFill="1" applyBorder="1" applyAlignment="1">
      <alignment horizontal="right" vertical="top" wrapText="1"/>
    </xf>
    <xf numFmtId="164" fontId="3" fillId="3" borderId="3" xfId="0" applyNumberFormat="1" applyFont="1" applyFill="1" applyBorder="1" applyAlignment="1">
      <alignment horizontal="right" vertical="top" wrapText="1"/>
    </xf>
    <xf numFmtId="164" fontId="3" fillId="3" borderId="15" xfId="0" applyNumberFormat="1" applyFont="1" applyFill="1" applyBorder="1" applyAlignment="1">
      <alignment horizontal="righ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5177-91B1-490A-A63F-571155A0BBB8}">
  <sheetPr codeName="Sheet1"/>
  <dimension ref="A1:M10"/>
  <sheetViews>
    <sheetView tabSelected="1" workbookViewId="0">
      <selection activeCell="M11" sqref="M11"/>
    </sheetView>
  </sheetViews>
  <sheetFormatPr defaultRowHeight="14.4"/>
  <cols>
    <col min="1" max="1" width="20.44140625" customWidth="1"/>
    <col min="2" max="2" width="10" bestFit="1" customWidth="1"/>
    <col min="3" max="3" width="12.33203125" customWidth="1"/>
    <col min="9" max="10" width="8.88671875" bestFit="1" customWidth="1"/>
    <col min="11" max="11" width="7.88671875" bestFit="1" customWidth="1"/>
  </cols>
  <sheetData>
    <row r="1" spans="1:13">
      <c r="A1" s="16" t="s">
        <v>10</v>
      </c>
      <c r="B1" s="16"/>
      <c r="C1" s="16"/>
      <c r="D1" s="16"/>
      <c r="E1" s="16"/>
      <c r="F1" s="16"/>
      <c r="G1" s="16"/>
      <c r="H1" s="16"/>
      <c r="I1" s="16" t="s">
        <v>8</v>
      </c>
      <c r="J1" s="16"/>
      <c r="K1" s="16"/>
      <c r="L1" s="16"/>
      <c r="M1" s="16"/>
    </row>
    <row r="2" spans="1:13">
      <c r="A2" s="19" t="s">
        <v>0</v>
      </c>
      <c r="B2" s="19"/>
      <c r="C2" s="19"/>
      <c r="D2" s="18"/>
      <c r="E2" s="18"/>
      <c r="F2" s="18"/>
      <c r="G2" s="18"/>
      <c r="H2" s="18"/>
      <c r="I2" s="19" t="s">
        <v>0</v>
      </c>
      <c r="J2" s="18"/>
      <c r="K2" s="18"/>
      <c r="L2" s="18"/>
      <c r="M2" s="18"/>
    </row>
    <row r="3" spans="1:13" ht="19.8" thickBot="1">
      <c r="A3" s="17" t="s">
        <v>1</v>
      </c>
      <c r="B3" s="17"/>
      <c r="C3" s="17"/>
      <c r="D3" s="18"/>
      <c r="E3" s="18"/>
      <c r="F3" s="18"/>
      <c r="G3" s="18"/>
      <c r="H3" s="18"/>
      <c r="I3" s="17" t="s">
        <v>9</v>
      </c>
      <c r="J3" s="18"/>
      <c r="K3" s="18"/>
      <c r="L3" s="18"/>
      <c r="M3" s="18"/>
    </row>
    <row r="4" spans="1:13" ht="15" thickBot="1">
      <c r="A4" s="23"/>
      <c r="B4" s="9"/>
      <c r="C4" s="9"/>
      <c r="D4" s="25" t="s">
        <v>2</v>
      </c>
      <c r="E4" s="25"/>
      <c r="F4" s="25"/>
      <c r="G4" s="25"/>
      <c r="H4" s="25"/>
      <c r="I4" s="20" t="s">
        <v>2</v>
      </c>
      <c r="J4" s="21"/>
      <c r="K4" s="21"/>
      <c r="L4" s="21"/>
      <c r="M4" s="22"/>
    </row>
    <row r="5" spans="1:13" ht="54" thickBot="1">
      <c r="A5" s="24"/>
      <c r="B5" s="3" t="s">
        <v>11</v>
      </c>
      <c r="C5" s="3" t="s">
        <v>12</v>
      </c>
      <c r="D5" s="1">
        <v>44792</v>
      </c>
      <c r="E5" s="1">
        <v>44799</v>
      </c>
      <c r="F5" s="1">
        <v>44806</v>
      </c>
      <c r="G5" s="1">
        <v>44813</v>
      </c>
      <c r="H5" s="1">
        <v>44820</v>
      </c>
      <c r="I5" s="26">
        <v>44792</v>
      </c>
      <c r="J5" s="27">
        <v>44799</v>
      </c>
      <c r="K5" s="27">
        <v>44806</v>
      </c>
      <c r="L5" s="27">
        <v>44813</v>
      </c>
      <c r="M5" s="28">
        <v>44820</v>
      </c>
    </row>
    <row r="6" spans="1:13">
      <c r="A6" s="10" t="s">
        <v>3</v>
      </c>
      <c r="B6" s="4">
        <v>12500</v>
      </c>
      <c r="C6" s="4">
        <v>1.2</v>
      </c>
      <c r="D6" s="5">
        <v>187.15</v>
      </c>
      <c r="E6" s="5">
        <v>187.15</v>
      </c>
      <c r="F6" s="5">
        <v>192.9</v>
      </c>
      <c r="G6" s="5">
        <v>192.9</v>
      </c>
      <c r="H6" s="32">
        <v>198.85</v>
      </c>
      <c r="I6" s="29" cm="1">
        <f t="array" ref="I6">CoalPrice_in_mmBtu(D6,$B6)</f>
        <v>7.49</v>
      </c>
      <c r="J6" s="29" cm="1">
        <f t="array" ref="J6">CoalPrice_in_mmBtu(E6,$B6)</f>
        <v>7.49</v>
      </c>
      <c r="K6" s="29" cm="1">
        <f t="array" ref="K6">CoalPrice_in_mmBtu(F6,$B6)</f>
        <v>7.72</v>
      </c>
      <c r="L6" s="29" cm="1">
        <f t="array" ref="L6">CoalPrice_in_mmBtu(G6,$B6)</f>
        <v>7.72</v>
      </c>
      <c r="M6" s="36" cm="1">
        <f t="array" ref="M6">CoalPrice_in_mmBtu(H6,$B6)</f>
        <v>7.95</v>
      </c>
    </row>
    <row r="7" spans="1:13">
      <c r="A7" s="11" t="s">
        <v>4</v>
      </c>
      <c r="B7" s="2">
        <v>13000</v>
      </c>
      <c r="C7" s="2">
        <v>3</v>
      </c>
      <c r="D7" s="6">
        <v>145.85</v>
      </c>
      <c r="E7" s="6">
        <v>145.85</v>
      </c>
      <c r="F7" s="6">
        <v>176.5</v>
      </c>
      <c r="G7" s="6">
        <v>176.5</v>
      </c>
      <c r="H7" s="33">
        <v>181.95</v>
      </c>
      <c r="I7" s="30" cm="1">
        <f t="array" ref="I7">CoalPrice_in_mmBtu(D7,$B7)</f>
        <v>5.61</v>
      </c>
      <c r="J7" s="30" cm="1">
        <f t="array" ref="J7">CoalPrice_in_mmBtu(E7,$B7)</f>
        <v>5.61</v>
      </c>
      <c r="K7" s="30" cm="1">
        <f t="array" ref="K7">CoalPrice_in_mmBtu(F7,$B7)</f>
        <v>6.79</v>
      </c>
      <c r="L7" s="30" cm="1">
        <f t="array" ref="L7">CoalPrice_in_mmBtu(G7,$B7)</f>
        <v>6.79</v>
      </c>
      <c r="M7" s="37" cm="1">
        <f t="array" ref="M7">CoalPrice_in_mmBtu(H7,$B7)</f>
        <v>7</v>
      </c>
    </row>
    <row r="8" spans="1:13">
      <c r="A8" s="11" t="s">
        <v>5</v>
      </c>
      <c r="B8" s="2">
        <v>11800</v>
      </c>
      <c r="C8" s="2">
        <v>5</v>
      </c>
      <c r="D8" s="6">
        <v>189.7</v>
      </c>
      <c r="E8" s="6">
        <v>189.7</v>
      </c>
      <c r="F8" s="6">
        <v>196.65</v>
      </c>
      <c r="G8" s="6">
        <v>196.65</v>
      </c>
      <c r="H8" s="33">
        <v>196.75</v>
      </c>
      <c r="I8" s="30" cm="1">
        <f t="array" ref="I8">CoalPrice_in_mmBtu(D8,$B8)</f>
        <v>8.0399999999999991</v>
      </c>
      <c r="J8" s="30" cm="1">
        <f t="array" ref="J8">CoalPrice_in_mmBtu(E8,$B8)</f>
        <v>8.0399999999999991</v>
      </c>
      <c r="K8" s="30" cm="1">
        <f t="array" ref="K8">CoalPrice_in_mmBtu(F8,$B8)</f>
        <v>8.33</v>
      </c>
      <c r="L8" s="30" cm="1">
        <f t="array" ref="L8">CoalPrice_in_mmBtu(G8,$B8)</f>
        <v>8.33</v>
      </c>
      <c r="M8" s="37" cm="1">
        <f t="array" ref="M8">CoalPrice_in_mmBtu(H8,$B8)</f>
        <v>8.34</v>
      </c>
    </row>
    <row r="9" spans="1:13">
      <c r="A9" s="12" t="s">
        <v>6</v>
      </c>
      <c r="B9" s="7">
        <v>8800</v>
      </c>
      <c r="C9" s="7">
        <v>0.8</v>
      </c>
      <c r="D9" s="8">
        <v>16.25</v>
      </c>
      <c r="E9" s="8">
        <v>16.25</v>
      </c>
      <c r="F9" s="8">
        <v>16.2</v>
      </c>
      <c r="G9" s="8">
        <v>16.2</v>
      </c>
      <c r="H9" s="34">
        <v>16.149999999999999</v>
      </c>
      <c r="I9" s="39" cm="1">
        <f t="array" ref="I9">CoalPrice_in_mmBtu(D9,$B9)</f>
        <v>0.92</v>
      </c>
      <c r="J9" s="40" cm="1">
        <f t="array" ref="J9">CoalPrice_in_mmBtu(E9,$B9)</f>
        <v>0.92</v>
      </c>
      <c r="K9" s="40" cm="1">
        <f t="array" ref="K9">CoalPrice_in_mmBtu(F9,$B9)</f>
        <v>0.92</v>
      </c>
      <c r="L9" s="40" cm="1">
        <f t="array" ref="L9">CoalPrice_in_mmBtu(G9,$B9)</f>
        <v>0.92</v>
      </c>
      <c r="M9" s="41" cm="1">
        <f t="array" ref="M9">CoalPrice_in_mmBtu(H9,$B9)</f>
        <v>0.92</v>
      </c>
    </row>
    <row r="10" spans="1:13" ht="15" thickBot="1">
      <c r="A10" s="13" t="s">
        <v>7</v>
      </c>
      <c r="B10" s="14">
        <v>11700</v>
      </c>
      <c r="C10" s="14">
        <v>0.8</v>
      </c>
      <c r="D10" s="15">
        <v>42.85</v>
      </c>
      <c r="E10" s="15">
        <v>42.85</v>
      </c>
      <c r="F10" s="15">
        <v>42.7</v>
      </c>
      <c r="G10" s="15">
        <v>42.7</v>
      </c>
      <c r="H10" s="35">
        <v>42.55</v>
      </c>
      <c r="I10" s="31" cm="1">
        <f t="array" ref="I10">CoalPrice_in_mmBtu(D10,$B10)</f>
        <v>1.83</v>
      </c>
      <c r="J10" s="31" cm="1">
        <f t="array" ref="J10">CoalPrice_in_mmBtu(E10,$B10)</f>
        <v>1.83</v>
      </c>
      <c r="K10" s="31" cm="1">
        <f t="array" ref="K10">CoalPrice_in_mmBtu(F10,$B10)</f>
        <v>1.82</v>
      </c>
      <c r="L10" s="31" cm="1">
        <f t="array" ref="L10">CoalPrice_in_mmBtu(G10,$B10)</f>
        <v>1.82</v>
      </c>
      <c r="M10" s="38" cm="1">
        <f t="array" ref="M10">CoalPrice_in_mmBtu(H10,$B10)</f>
        <v>1.82</v>
      </c>
    </row>
  </sheetData>
  <mergeCells count="7">
    <mergeCell ref="I3:M3"/>
    <mergeCell ref="I2:M2"/>
    <mergeCell ref="I4:M4"/>
    <mergeCell ref="A2:H2"/>
    <mergeCell ref="A3:H3"/>
    <mergeCell ref="A4:A5"/>
    <mergeCell ref="D4:H4"/>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A4.Q1</vt:lpstr>
    </vt:vector>
  </TitlesOfParts>
  <Company>Duke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Dalia Patino Echeverri, Ph.D.</dc:creator>
  <cp:lastModifiedBy>Xiaodong Zhang</cp:lastModifiedBy>
  <dcterms:created xsi:type="dcterms:W3CDTF">2022-09-23T18:13:27Z</dcterms:created>
  <dcterms:modified xsi:type="dcterms:W3CDTF">2022-09-27T03:22:31Z</dcterms:modified>
</cp:coreProperties>
</file>